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/>
  <bookViews>
    <workbookView xWindow="-105" yWindow="-105" windowWidth="20730" windowHeight="11760"/>
  </bookViews>
  <sheets>
    <sheet name="Sheet1" sheetId="1" r:id="rId1"/>
  </sheets>
  <calcPr calcId="144525"/>
  <fileRecoveryPr repairLoad="1"/>
</workbook>
</file>

<file path=xl/calcChain.xml><?xml version="1.0" encoding="utf-8"?>
<calcChain xmlns="http://schemas.openxmlformats.org/spreadsheetml/2006/main">
  <c r="M5" i="1" l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4" i="1"/>
  <c r="C9" i="1" l="1"/>
  <c r="D5" i="1" l="1"/>
  <c r="L4" i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D7" i="1"/>
  <c r="D6" i="1"/>
  <c r="D4" i="1"/>
  <c r="E4" i="1" s="1"/>
  <c r="D8" i="1"/>
  <c r="E5" i="1" l="1"/>
  <c r="G5" i="1" s="1"/>
  <c r="F6" i="1" s="1"/>
  <c r="G4" i="1"/>
  <c r="E6" i="1" l="1"/>
  <c r="F5" i="1"/>
  <c r="E7" i="1" l="1"/>
  <c r="G6" i="1"/>
  <c r="F7" i="1" l="1"/>
  <c r="E8" i="1"/>
  <c r="G8" i="1" s="1"/>
  <c r="G7" i="1"/>
  <c r="F8" i="1" s="1"/>
  <c r="N5" i="1" l="1"/>
  <c r="N9" i="1"/>
  <c r="N8" i="1"/>
  <c r="N16" i="1"/>
  <c r="N17" i="1"/>
  <c r="N10" i="1"/>
  <c r="N7" i="1"/>
  <c r="N6" i="1"/>
  <c r="N12" i="1"/>
  <c r="N19" i="1"/>
  <c r="N14" i="1"/>
  <c r="N13" i="1"/>
  <c r="N15" i="1"/>
  <c r="N11" i="1"/>
  <c r="N4" i="1"/>
  <c r="N18" i="1"/>
</calcChain>
</file>

<file path=xl/sharedStrings.xml><?xml version="1.0" encoding="utf-8"?>
<sst xmlns="http://schemas.openxmlformats.org/spreadsheetml/2006/main" count="15" uniqueCount="14">
  <si>
    <t>PENJUALAN LAPTOP IBM</t>
  </si>
  <si>
    <t>No.</t>
  </si>
  <si>
    <t>Permintaan Laptop per minggu</t>
  </si>
  <si>
    <t xml:space="preserve">Frekuensi </t>
  </si>
  <si>
    <t>JUMLAH</t>
  </si>
  <si>
    <t>Probabilitas</t>
  </si>
  <si>
    <t>Probabilitas Kumulatif</t>
  </si>
  <si>
    <t>Generalisasi dan Penaksiran</t>
  </si>
  <si>
    <t>Permintaan Laptop minggu ke-</t>
  </si>
  <si>
    <t>Angka Acak</t>
  </si>
  <si>
    <t>Permintaan</t>
  </si>
  <si>
    <t>BB Interval</t>
  </si>
  <si>
    <t>BA Interval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</si>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</sst>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tabSelected="1" topLeftCell="B1" workbookViewId="0">
      <selection activeCell="D12" sqref="D12"/>
    </sheetView>
  </sheetViews>
  <sheetFormatPr defaultRowHeight="15" x14ac:dyDescent="0.25"/>
  <cols>
    <col min="2" max="2" width="19.7109375" customWidth="1"/>
    <col min="3" max="3" width="11" customWidth="1"/>
    <col min="4" max="7" width="12.42578125" customWidth="1"/>
    <col min="8" max="8" width="5.85546875" customWidth="1"/>
    <col min="9" max="9" width="2.28515625" style="5" customWidth="1"/>
    <col min="10" max="10" width="4.5703125" customWidth="1"/>
    <col min="12" max="12" width="19.7109375" customWidth="1"/>
    <col min="13" max="13" width="11.85546875" customWidth="1"/>
    <col min="14" max="14" width="13.28515625" customWidth="1"/>
  </cols>
  <sheetData>
    <row r="1" spans="1:14" ht="18.75" x14ac:dyDescent="0.3">
      <c r="A1" s="3" t="s">
        <v>0</v>
      </c>
      <c r="K1" s="3" t="s">
        <v>7</v>
      </c>
    </row>
    <row r="3" spans="1:14" s="1" customFormat="1" ht="36.75" customHeight="1" x14ac:dyDescent="0.25">
      <c r="A3" s="2" t="s">
        <v>1</v>
      </c>
      <c r="B3" s="2" t="s">
        <v>2</v>
      </c>
      <c r="C3" s="2" t="s">
        <v>3</v>
      </c>
      <c r="D3" s="2" t="s">
        <v>5</v>
      </c>
      <c r="E3" s="2" t="s">
        <v>6</v>
      </c>
      <c r="F3" s="2" t="s">
        <v>11</v>
      </c>
      <c r="G3" s="2" t="s">
        <v>12</v>
      </c>
      <c r="I3" s="6"/>
      <c r="K3" s="2" t="s">
        <v>1</v>
      </c>
      <c r="L3" s="2" t="s">
        <v>8</v>
      </c>
      <c r="M3" s="2" t="s">
        <v>9</v>
      </c>
      <c r="N3" s="2" t="s">
        <v>10</v>
      </c>
    </row>
    <row r="4" spans="1:14" x14ac:dyDescent="0.25">
      <c r="A4" s="4">
        <v>1</v>
      </c>
      <c r="B4" s="4">
        <v>0</v>
      </c>
      <c r="C4" s="4">
        <v>10</v>
      </c>
      <c r="D4" s="4">
        <f>C4/C$9</f>
        <v>0.1</v>
      </c>
      <c r="E4" s="4">
        <f>D4</f>
        <v>0.1</v>
      </c>
      <c r="F4" s="7">
        <v>0</v>
      </c>
      <c r="G4" s="4">
        <f>E4</f>
        <v>0.1</v>
      </c>
      <c r="K4" s="4">
        <v>1</v>
      </c>
      <c r="L4" s="4">
        <f>C9+1</f>
        <v>101</v>
      </c>
      <c r="M4" s="4">
        <f ca="1">RAND()</f>
        <v>0.10453745944270987</v>
      </c>
      <c r="N4" s="4">
        <f ca="1">IF(M4&lt;=$G$4,0,IF(M4&lt;=$G$5,1,IF(M4&lt;=$G$6,2,IF(M4&lt;=$G$7,3,4))))</f>
        <v>1</v>
      </c>
    </row>
    <row r="5" spans="1:14" x14ac:dyDescent="0.25">
      <c r="A5" s="4">
        <v>2</v>
      </c>
      <c r="B5" s="4">
        <v>1</v>
      </c>
      <c r="C5" s="4">
        <v>20</v>
      </c>
      <c r="D5" s="7">
        <f>C5/C$9</f>
        <v>0.2</v>
      </c>
      <c r="E5" s="4">
        <f>E4+D5</f>
        <v>0.30000000000000004</v>
      </c>
      <c r="F5" s="7">
        <f>G4+0.001</f>
        <v>0.10100000000000001</v>
      </c>
      <c r="G5" s="7">
        <f>E5</f>
        <v>0.30000000000000004</v>
      </c>
      <c r="K5" s="4">
        <v>2</v>
      </c>
      <c r="L5" s="4">
        <f>L4+1</f>
        <v>102</v>
      </c>
      <c r="M5" s="9">
        <f t="shared" ref="M5:M19" ca="1" si="0">RAND()</f>
        <v>0.2454526917459704</v>
      </c>
      <c r="N5" s="8">
        <f t="shared" ref="N5:N19" ca="1" si="1">IF(M5&lt;=$G$4,0,IF(M5&lt;=$G$5,1,IF(M5&lt;=$G$6,2,IF(M5&lt;=$G$7,3,4))))</f>
        <v>1</v>
      </c>
    </row>
    <row r="6" spans="1:14" x14ac:dyDescent="0.25">
      <c r="A6" s="4">
        <v>3</v>
      </c>
      <c r="B6" s="4">
        <v>2</v>
      </c>
      <c r="C6" s="4">
        <v>20</v>
      </c>
      <c r="D6" s="7">
        <f>C6/C$9</f>
        <v>0.2</v>
      </c>
      <c r="E6" s="7">
        <f>E5+D6</f>
        <v>0.5</v>
      </c>
      <c r="F6" s="7">
        <f>G5+0.001</f>
        <v>0.30100000000000005</v>
      </c>
      <c r="G6" s="7">
        <f>E6</f>
        <v>0.5</v>
      </c>
      <c r="K6" s="4">
        <v>3</v>
      </c>
      <c r="L6" s="7">
        <f t="shared" ref="L6:L19" si="2">L5+1</f>
        <v>103</v>
      </c>
      <c r="M6" s="9">
        <f t="shared" ca="1" si="0"/>
        <v>0.80359485616989956</v>
      </c>
      <c r="N6" s="8">
        <f t="shared" ca="1" si="1"/>
        <v>4</v>
      </c>
    </row>
    <row r="7" spans="1:14" x14ac:dyDescent="0.25">
      <c r="A7" s="4">
        <v>4</v>
      </c>
      <c r="B7" s="4">
        <v>3</v>
      </c>
      <c r="C7" s="4">
        <v>10</v>
      </c>
      <c r="D7" s="7">
        <f>C7/C$9</f>
        <v>0.1</v>
      </c>
      <c r="E7" s="7">
        <f>E6+D7</f>
        <v>0.6</v>
      </c>
      <c r="F7" s="7">
        <f>G6+0.001</f>
        <v>0.501</v>
      </c>
      <c r="G7" s="7">
        <f>E7</f>
        <v>0.6</v>
      </c>
      <c r="K7" s="4">
        <v>4</v>
      </c>
      <c r="L7" s="7">
        <f t="shared" si="2"/>
        <v>104</v>
      </c>
      <c r="M7" s="9">
        <f t="shared" ca="1" si="0"/>
        <v>0.31236972178861511</v>
      </c>
      <c r="N7" s="8">
        <f t="shared" ca="1" si="1"/>
        <v>2</v>
      </c>
    </row>
    <row r="8" spans="1:14" x14ac:dyDescent="0.25">
      <c r="A8" s="4">
        <v>5</v>
      </c>
      <c r="B8" s="4">
        <v>4</v>
      </c>
      <c r="C8" s="4">
        <v>40</v>
      </c>
      <c r="D8" s="7">
        <f>C8/C$9</f>
        <v>0.4</v>
      </c>
      <c r="E8" s="7">
        <f>E7+D8</f>
        <v>1</v>
      </c>
      <c r="F8" s="7">
        <f>G7+0.001</f>
        <v>0.60099999999999998</v>
      </c>
      <c r="G8" s="7">
        <f>E8</f>
        <v>1</v>
      </c>
      <c r="K8" s="4">
        <v>5</v>
      </c>
      <c r="L8" s="7">
        <f t="shared" si="2"/>
        <v>105</v>
      </c>
      <c r="M8" s="9">
        <f t="shared" ca="1" si="0"/>
        <v>0.81410215108760009</v>
      </c>
      <c r="N8" s="8">
        <f t="shared" ca="1" si="1"/>
        <v>4</v>
      </c>
    </row>
    <row r="9" spans="1:14" x14ac:dyDescent="0.25">
      <c r="A9" s="10" t="s">
        <v>4</v>
      </c>
      <c r="B9" s="10"/>
      <c r="C9" s="4">
        <f>SUM(C4:C8)</f>
        <v>100</v>
      </c>
      <c r="D9" s="4"/>
      <c r="E9" s="4"/>
      <c r="F9" s="7" t="s">
        <v>13</v>
      </c>
      <c r="G9" s="4"/>
      <c r="K9" s="4">
        <v>6</v>
      </c>
      <c r="L9" s="7">
        <f t="shared" si="2"/>
        <v>106</v>
      </c>
      <c r="M9" s="9">
        <f t="shared" ca="1" si="0"/>
        <v>0.45678280433457619</v>
      </c>
      <c r="N9" s="8">
        <f t="shared" ca="1" si="1"/>
        <v>2</v>
      </c>
    </row>
    <row r="10" spans="1:14" x14ac:dyDescent="0.25">
      <c r="K10" s="4">
        <v>7</v>
      </c>
      <c r="L10" s="7">
        <f t="shared" si="2"/>
        <v>107</v>
      </c>
      <c r="M10" s="9">
        <f t="shared" ca="1" si="0"/>
        <v>0.74246432247320249</v>
      </c>
      <c r="N10" s="8">
        <f t="shared" ca="1" si="1"/>
        <v>4</v>
      </c>
    </row>
    <row r="11" spans="1:14" x14ac:dyDescent="0.25">
      <c r="K11" s="4">
        <v>8</v>
      </c>
      <c r="L11" s="7">
        <f t="shared" si="2"/>
        <v>108</v>
      </c>
      <c r="M11" s="9">
        <f t="shared" ca="1" si="0"/>
        <v>0.82956496847983441</v>
      </c>
      <c r="N11" s="8">
        <f t="shared" ca="1" si="1"/>
        <v>4</v>
      </c>
    </row>
    <row r="12" spans="1:14" x14ac:dyDescent="0.25">
      <c r="K12" s="4">
        <v>9</v>
      </c>
      <c r="L12" s="7">
        <f t="shared" si="2"/>
        <v>109</v>
      </c>
      <c r="M12" s="9">
        <f t="shared" ca="1" si="0"/>
        <v>0.41118435390358732</v>
      </c>
      <c r="N12" s="8">
        <f t="shared" ca="1" si="1"/>
        <v>2</v>
      </c>
    </row>
    <row r="13" spans="1:14" x14ac:dyDescent="0.25">
      <c r="K13" s="4">
        <v>10</v>
      </c>
      <c r="L13" s="7">
        <f t="shared" si="2"/>
        <v>110</v>
      </c>
      <c r="M13" s="9">
        <f t="shared" ca="1" si="0"/>
        <v>0.19040395856670833</v>
      </c>
      <c r="N13" s="8">
        <f t="shared" ca="1" si="1"/>
        <v>1</v>
      </c>
    </row>
    <row r="14" spans="1:14" x14ac:dyDescent="0.25">
      <c r="K14" s="4">
        <v>11</v>
      </c>
      <c r="L14" s="7">
        <f t="shared" si="2"/>
        <v>111</v>
      </c>
      <c r="M14" s="9">
        <f t="shared" ca="1" si="0"/>
        <v>0.84643707374147281</v>
      </c>
      <c r="N14" s="8">
        <f t="shared" ca="1" si="1"/>
        <v>4</v>
      </c>
    </row>
    <row r="15" spans="1:14" x14ac:dyDescent="0.25">
      <c r="K15" s="4">
        <v>12</v>
      </c>
      <c r="L15" s="7">
        <f t="shared" si="2"/>
        <v>112</v>
      </c>
      <c r="M15" s="9">
        <f t="shared" ca="1" si="0"/>
        <v>0.83690551302440608</v>
      </c>
      <c r="N15" s="8">
        <f t="shared" ca="1" si="1"/>
        <v>4</v>
      </c>
    </row>
    <row r="16" spans="1:14" x14ac:dyDescent="0.25">
      <c r="K16" s="4">
        <v>13</v>
      </c>
      <c r="L16" s="7">
        <f t="shared" si="2"/>
        <v>113</v>
      </c>
      <c r="M16" s="9">
        <f t="shared" ca="1" si="0"/>
        <v>0.23342525125379165</v>
      </c>
      <c r="N16" s="8">
        <f t="shared" ca="1" si="1"/>
        <v>1</v>
      </c>
    </row>
    <row r="17" spans="11:14" x14ac:dyDescent="0.25">
      <c r="K17" s="4">
        <v>14</v>
      </c>
      <c r="L17" s="7">
        <f t="shared" si="2"/>
        <v>114</v>
      </c>
      <c r="M17" s="9">
        <f t="shared" ca="1" si="0"/>
        <v>0.16761698080808174</v>
      </c>
      <c r="N17" s="8">
        <f t="shared" ca="1" si="1"/>
        <v>1</v>
      </c>
    </row>
    <row r="18" spans="11:14" x14ac:dyDescent="0.25">
      <c r="K18" s="4">
        <v>15</v>
      </c>
      <c r="L18" s="7">
        <f t="shared" si="2"/>
        <v>115</v>
      </c>
      <c r="M18" s="9">
        <f t="shared" ca="1" si="0"/>
        <v>0.5479159134269721</v>
      </c>
      <c r="N18" s="8">
        <f t="shared" ca="1" si="1"/>
        <v>3</v>
      </c>
    </row>
    <row r="19" spans="11:14" x14ac:dyDescent="0.25">
      <c r="K19" s="4">
        <v>16</v>
      </c>
      <c r="L19" s="7">
        <f t="shared" si="2"/>
        <v>116</v>
      </c>
      <c r="M19" s="9">
        <f t="shared" ca="1" si="0"/>
        <v>0.5764739106493445</v>
      </c>
      <c r="N19" s="8">
        <f t="shared" ca="1" si="1"/>
        <v>3</v>
      </c>
    </row>
  </sheetData>
  <mergeCells count="1">
    <mergeCell ref="A9:B9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2021-03-08T14:33:45Z</dcterms:modified>
</cp:coreProperties>
</file>